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reening v2 default" sheetId="1" state="visible" r:id="rId3"/>
    <sheet name="Screening TpFraction=0.5" sheetId="2" state="visible" r:id="rId4"/>
    <sheet name="Diagnostic D - directio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<sst xmlns="http://schemas.openxmlformats.org/spreadsheetml/2006/main" count="167" uniqueCount="107">
  <si>
    <t xml:space="preserve">Weekly Mean Reversion v2 — Screening matrix</t>
  </si>
  <si>
    <t xml:space="preserve">In-sample window: 2016-01-01 → 2024-01-01    |    Timeframe: M5    |    Starting capital: $10,000</t>
  </si>
  <si>
    <t xml:space="preserve">Run config</t>
  </si>
  <si>
    <t xml:space="preserve">Run name</t>
  </si>
  <si>
    <t xml:space="preserve">v2 default screening</t>
  </si>
  <si>
    <t xml:space="preserve">DeviationAtrMult</t>
  </si>
  <si>
    <t xml:space="preserve">D1 ATR Period</t>
  </si>
  <si>
    <t xml:space="preserve">ConfirmationBars</t>
  </si>
  <si>
    <t xml:space="preserve">ResetBufferPips</t>
  </si>
  <si>
    <t xml:space="preserve">RiskPercent</t>
  </si>
  <si>
    <t xml:space="preserve">M5 ATR Period</t>
  </si>
  <si>
    <t xml:space="preserve">SlAtrMultiple</t>
  </si>
  <si>
    <t xml:space="preserve">TpBufferPips</t>
  </si>
  <si>
    <t xml:space="preserve">MaxTradeHours</t>
  </si>
  <si>
    <t xml:space="preserve">MinTpToSlRatio</t>
  </si>
  <si>
    <t xml:space="preserve">MaxTradesPerWeek</t>
  </si>
  <si>
    <t xml:space="preserve">CooldownMinutes</t>
  </si>
  <si>
    <t xml:space="preserve">Day filter</t>
  </si>
  <si>
    <t xml:space="preserve">Tue/Wed only</t>
  </si>
  <si>
    <t xml:space="preserve">WeeklyLossLimitPct</t>
  </si>
  <si>
    <t xml:space="preserve">Symbol</t>
  </si>
  <si>
    <t xml:space="preserve">Net P/L ($)</t>
  </si>
  <si>
    <t xml:space="preserve">Net P/L (%)</t>
  </si>
  <si>
    <t xml:space="preserve">Profit Factor</t>
  </si>
  <si>
    <t xml:space="preserve">Max Eq DD (%)</t>
  </si>
  <si>
    <t xml:space="preserve">Total Trades</t>
  </si>
  <si>
    <t xml:space="preserve">Wins</t>
  </si>
  <si>
    <t xml:space="preserve">Losses</t>
  </si>
  <si>
    <t xml:space="preserve">Win Rate (%)</t>
  </si>
  <si>
    <t xml:space="preserve">Largest Win ($)</t>
  </si>
  <si>
    <t xml:space="preserve">Long Net ($)</t>
  </si>
  <si>
    <t xml:space="preserve">Short Net ($)</t>
  </si>
  <si>
    <t xml:space="preserve">Verdict</t>
  </si>
  <si>
    <t xml:space="preserve">Notes</t>
  </si>
  <si>
    <t xml:space="preserve">XAUUSD</t>
  </si>
  <si>
    <t xml:space="preserve">Only profitable</t>
  </si>
  <si>
    <t xml:space="preserve">Shorts dominate; longs ~flat.</t>
  </si>
  <si>
    <t xml:space="preserve">EURGBP</t>
  </si>
  <si>
    <t xml:space="preserve">Closest FX</t>
  </si>
  <si>
    <t xml:space="preserve">Best FX PF; still negative.</t>
  </si>
  <si>
    <t xml:space="preserve">GBPUSD</t>
  </si>
  <si>
    <t xml:space="preserve">Below breakeven</t>
  </si>
  <si>
    <t xml:space="preserve">AUDJPY</t>
  </si>
  <si>
    <t xml:space="preserve">AUDUSD</t>
  </si>
  <si>
    <t xml:space="preserve">Bad</t>
  </si>
  <si>
    <t xml:space="preserve">US500</t>
  </si>
  <si>
    <t xml:space="preserve">Trend-bias kills mean rev.</t>
  </si>
  <si>
    <t xml:space="preserve">USDJPY</t>
  </si>
  <si>
    <t xml:space="preserve">EURUSD</t>
  </si>
  <si>
    <t xml:space="preserve">9.3% win rate barely above breakeven for 12:1 R:R.</t>
  </si>
  <si>
    <t xml:space="preserve">USDCAD</t>
  </si>
  <si>
    <t xml:space="preserve">Worst FX</t>
  </si>
  <si>
    <t xml:space="preserve">XAGUSD</t>
  </si>
  <si>
    <t xml:space="preserve">Worst overall</t>
  </si>
  <si>
    <t xml:space="preserve">Silver too noisy.</t>
  </si>
  <si>
    <t xml:space="preserve">Aggregate</t>
  </si>
  <si>
    <t xml:space="preserve">Read</t>
  </si>
  <si>
    <t xml:space="preserve">• 9 of 10 symbols unprofitable. Win rates 5-17% across the board.</t>
  </si>
  <si>
    <t xml:space="preserve">• Structural mismatch: SL ~10-20p (M5 ATR x 2), TP at Monday open ~60-100p away. R:R is ~10-12:1 on paper, requires ~9% win rate to break even.</t>
  </si>
  <si>
    <t xml:space="preserve">• Most symbols sit at or below that breakeven win-rate threshold once spread/commission is paid.</t>
  </si>
  <si>
    <t xml:space="preserve">• Only XAUUSD profitable, and almost entirely on the short side - directional asymmetry, not symmetric mean reversion.</t>
  </si>
  <si>
    <t xml:space="preserve">• Next: TpFraction = 0.5 (target halfway back to Monday open) to test whether partial mean reversion exists.</t>
  </si>
  <si>
    <t xml:space="preserve">Diagnostic B — XAUUSD shorts-only</t>
  </si>
  <si>
    <t xml:space="preserve">XAUUSD (S)</t>
  </si>
  <si>
    <t xml:space="preserve">KEEP — short-only edge</t>
  </si>
  <si>
    <t xml:space="preserve">AllowLongs=false. Lower DD, higher PF and win rate vs symmetric run. Real asymmetric edge.</t>
  </si>
  <si>
    <t xml:space="preserve">Weekly Mean Reversion v2.1 — TpFraction = 0.5</t>
  </si>
  <si>
    <t xml:space="preserve">Same params as v2 default, except TpFraction = 0.5 (TP at halfway between entry and Monday open)</t>
  </si>
  <si>
    <t xml:space="preserve">Worse than v2</t>
  </si>
  <si>
    <t xml:space="preserve">Gold edge is full reversion, not partial. Stay on v2 for XAU.</t>
  </si>
  <si>
    <t xml:space="preserve">Closest to breakeven</t>
  </si>
  <si>
    <t xml:space="preserve">Longs net POSITIVE. Asymmetric edge candidate -- run longs-only.</t>
  </si>
  <si>
    <t xml:space="preserve">Improved but neg</t>
  </si>
  <si>
    <t xml:space="preserve">Shorts less bad.</t>
  </si>
  <si>
    <t xml:space="preserve">Symmetric, no clear edge.</t>
  </si>
  <si>
    <t xml:space="preserve">Still worst</t>
  </si>
  <si>
    <t xml:space="preserve">Pending v2.1 runs</t>
  </si>
  <si>
    <t xml:space="preserve">USDJPY, USDCAD, EURGBP — paste when done</t>
  </si>
  <si>
    <t xml:space="preserve">• Win rates rose universally (~3-5pp) but only modestly. Theoretical breakeven on 6:1 R:R is ~15%; most symbols hover at 11-18%, right around the line.</t>
  </si>
  <si>
    <t xml:space="preserve">• PFs improved on every symbol; max DDs dropped on every symbol. Partial reversion is mildly real but not enough to overcome commission/spread.</t>
  </si>
  <si>
    <t xml:space="preserve">• GBPUSD is the surprise — longs flipped to NET POSITIVE (+41), the same pattern as XAU shorts. Longs-only run is the next test.</t>
  </si>
  <si>
    <t xml:space="preserve">• XAUUSD got slightly worse on v2.1 — gold's edge is in full reversion, not partial. Keep XAU on v2.0 shorts-only.</t>
  </si>
  <si>
    <t xml:space="preserve">• Conclusion: this strategy is not a symmetric edge across FX. It works as a small set of asymmetric directional bets: XAU shorts confirmed, GBPUSD longs and EURGBP longs to validate next.</t>
  </si>
  <si>
    <t xml:space="preserve">Diagnostic D — directional asymmetry tests</t>
  </si>
  <si>
    <t xml:space="preserve">Same params as default, but only one direction allowed. Tests whether asymmetric edges exist.</t>
  </si>
  <si>
    <t xml:space="preserve">Symbol/Side</t>
  </si>
  <si>
    <t xml:space="preserve">cBot</t>
  </si>
  <si>
    <t xml:space="preserve">Largest Loss ($)</t>
  </si>
  <si>
    <t xml:space="preserve">XAUUSD shorts</t>
  </si>
  <si>
    <t xml:space="preserve">v2</t>
  </si>
  <si>
    <t xml:space="preserve">KEEP</t>
  </si>
  <si>
    <t xml:space="preserve">Confirmed asymmetric edge. Best of all candidates.</t>
  </si>
  <si>
    <t xml:space="preserve">GBPUSD longs</t>
  </si>
  <si>
    <t xml:space="preserve">KEEP (marginal)</t>
  </si>
  <si>
    <t xml:space="preserve">Real edge but small. Optimize parameters.</t>
  </si>
  <si>
    <t xml:space="preserve">v2.1</t>
  </si>
  <si>
    <t xml:space="preserve">REJECT</t>
  </si>
  <si>
    <t xml:space="preserve">Partial reversion breaks the edge. Same pattern as XAU.</t>
  </si>
  <si>
    <t xml:space="preserve">EURGBP longs</t>
  </si>
  <si>
    <t xml:space="preserve">REJECT (full)</t>
  </si>
  <si>
    <t xml:space="preserve">Full reversion negative; partial much better.</t>
  </si>
  <si>
    <t xml:space="preserve">PF 1.00 gross, -0.23 avg trade — commission tipping it negative. Spread filter or small optimization should push it positive. Best win rate (27%) and DD (7.6%) of any candidate.</t>
  </si>
  <si>
    <t xml:space="preserve">• Two confirmed asymmetric edges so far: XAUUSD shorts (PF 1.60) and GBPUSD longs (PF 1.07, marginal but real).</t>
  </si>
  <si>
    <t xml:space="preserve">• v2.1 / TpFraction = 0.5 strictly worse on every direction-isolated test. Drop it from further work.</t>
  </si>
  <si>
    <t xml:space="preserve">• Strategy DNA confirmed: needs FULL mean reversion to Monday open, not partial. Half-reversion gives away too much TP without raising win rate enough.</t>
  </si>
  <si>
    <t xml:space="preserve">• EURGBP longs-only on v2 still pending — that completes the asymmetry universe and tells us if it's a 2-leg or 3-leg portfolio.</t>
  </si>
  <si>
    <t xml:space="preserve">• Next: optimize XAU shorts (already planned) + parameter sweep GBPUSD longs (and EURGBP longs if it confirms).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</si>
</sst>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\$* #,##0.00_-;[RED]_-\$* \(#,##0.00\)_-;_-\$* \-_-"/>
    <numFmt numFmtId="166" formatCode="0.0%;[RED]\(0.0%\);\-"/>
    <numFmt numFmtId="167" formatCode="0.0;[RED]\(0.0\);\-"/>
    <numFmt numFmtId="168" formatCode="#,##0;[RED]\(#,##0\);\-"/>
    <numFmt numFmtId="169" formatCode="_-\$* #,##0.00_-;[RED]_-\$* \(#,##0.00\)_-;_-\$* \-_-"/>
    <numFmt numFmtId="170" formatCode="0.0%;[RED]\(0.0%\);\-"/>
    <numFmt numFmtId="171" formatCode="0.0;[RED]\(0.0\);\-"/>
    <numFmt numFmtId="172" formatCode="#,##0;[RED]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pane xSplit="1" ySplit="0" topLeftCell="B23" activePane="topRight" state="frozen"/>
      <selection pane="topLeft" activeCell="A23" activeCellId="0" sqref="A23"/>
      <selection pane="top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8" min="7" style="1" width="8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2" min="11" style="1" width="13"/>
    <col collapsed="false" customWidth="true" hidden="false" outlineLevel="0" max="13" min="13" style="1" width="22"/>
    <col collapsed="false" customWidth="true" hidden="false" outlineLevel="0" max="14" min="14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5" t="s">
        <v>5</v>
      </c>
      <c r="B6" s="6" t="n">
        <v>2</v>
      </c>
    </row>
    <row r="7" customFormat="false" ht="15" hidden="false" customHeight="true" outlineLevel="0" collapsed="false">
      <c r="A7" s="5" t="s">
        <v>6</v>
      </c>
      <c r="B7" s="6" t="n">
        <v>14</v>
      </c>
    </row>
    <row r="8" customFormat="false" ht="15" hidden="false" customHeight="true" outlineLevel="0" collapsed="false">
      <c r="A8" s="5" t="s">
        <v>7</v>
      </c>
      <c r="B8" s="6" t="n">
        <v>2</v>
      </c>
    </row>
    <row r="9" customFormat="false" ht="15" hidden="false" customHeight="true" outlineLevel="0" collapsed="false">
      <c r="A9" s="5" t="s">
        <v>8</v>
      </c>
      <c r="B9" s="6" t="n">
        <v>2</v>
      </c>
    </row>
    <row r="10" customFormat="false" ht="15" hidden="false" customHeight="true" outlineLevel="0" collapsed="false">
      <c r="A10" s="5" t="s">
        <v>9</v>
      </c>
      <c r="B10" s="6" t="n">
        <v>0.5</v>
      </c>
    </row>
    <row r="11" customFormat="false" ht="15" hidden="false" customHeight="true" outlineLevel="0" collapsed="false">
      <c r="A11" s="5" t="s">
        <v>10</v>
      </c>
      <c r="B11" s="6" t="n">
        <v>14</v>
      </c>
    </row>
    <row r="12" customFormat="false" ht="15" hidden="false" customHeight="true" outlineLevel="0" collapsed="false">
      <c r="A12" s="5" t="s">
        <v>11</v>
      </c>
      <c r="B12" s="6" t="n">
        <v>2</v>
      </c>
    </row>
    <row r="13" customFormat="false" ht="15" hidden="false" customHeight="true" outlineLevel="0" collapsed="false">
      <c r="A13" s="5" t="s">
        <v>12</v>
      </c>
      <c r="B13" s="6" t="n">
        <v>5</v>
      </c>
    </row>
    <row r="14" customFormat="false" ht="15" hidden="false" customHeight="true" outlineLevel="0" collapsed="false">
      <c r="A14" s="5" t="s">
        <v>13</v>
      </c>
      <c r="B14" s="6" t="n">
        <v>48</v>
      </c>
    </row>
    <row r="15" customFormat="false" ht="15" hidden="false" customHeight="true" outlineLevel="0" collapsed="false">
      <c r="A15" s="5" t="s">
        <v>14</v>
      </c>
      <c r="B15" s="6" t="n">
        <v>0.5</v>
      </c>
    </row>
    <row r="16" customFormat="false" ht="15" hidden="false" customHeight="true" outlineLevel="0" collapsed="false">
      <c r="A16" s="5" t="s">
        <v>15</v>
      </c>
      <c r="B16" s="6" t="n">
        <v>3</v>
      </c>
    </row>
    <row r="17" customFormat="false" ht="15" hidden="false" customHeight="true" outlineLevel="0" collapsed="false">
      <c r="A17" s="5" t="s">
        <v>16</v>
      </c>
      <c r="B17" s="6" t="n">
        <v>60</v>
      </c>
    </row>
    <row r="18" customFormat="false" ht="15" hidden="false" customHeight="true" outlineLevel="0" collapsed="false">
      <c r="A18" s="5" t="s">
        <v>17</v>
      </c>
      <c r="B18" s="6" t="s">
        <v>18</v>
      </c>
    </row>
    <row r="19" customFormat="false" ht="15" hidden="false" customHeight="true" outlineLevel="0" collapsed="false">
      <c r="A19" s="5" t="s">
        <v>19</v>
      </c>
      <c r="B19" s="6" t="n">
        <v>3</v>
      </c>
    </row>
    <row r="22" customFormat="false" ht="31.5" hidden="false" customHeight="true" outlineLevel="0" collapsed="false">
      <c r="A22" s="7" t="s">
        <v>20</v>
      </c>
      <c r="B22" s="7" t="s">
        <v>21</v>
      </c>
      <c r="C22" s="7" t="s">
        <v>22</v>
      </c>
      <c r="D22" s="7" t="s">
        <v>23</v>
      </c>
      <c r="E22" s="7" t="s">
        <v>24</v>
      </c>
      <c r="F22" s="7" t="s">
        <v>25</v>
      </c>
      <c r="G22" s="7" t="s">
        <v>26</v>
      </c>
      <c r="H22" s="7" t="s">
        <v>27</v>
      </c>
      <c r="I22" s="7" t="s">
        <v>28</v>
      </c>
      <c r="J22" s="7" t="s">
        <v>29</v>
      </c>
      <c r="K22" s="7" t="s">
        <v>30</v>
      </c>
      <c r="L22" s="7" t="s">
        <v>31</v>
      </c>
      <c r="M22" s="7" t="s">
        <v>32</v>
      </c>
      <c r="N22" s="7" t="s">
        <v>33</v>
      </c>
    </row>
    <row r="23" customFormat="false" ht="15" hidden="false" customHeight="true" outlineLevel="0" collapsed="false">
      <c r="A23" s="8" t="s">
        <v>34</v>
      </c>
      <c r="B23" s="9" t="n">
        <v>1399.22</v>
      </c>
      <c r="C23" s="10" t="n">
        <v>0.14</v>
      </c>
      <c r="D23" s="11" t="n">
        <v>1.26</v>
      </c>
      <c r="E23" s="10" t="n">
        <v>0.2077</v>
      </c>
      <c r="F23" s="12" t="n">
        <v>104</v>
      </c>
      <c r="G23" s="12" t="n">
        <v>17</v>
      </c>
      <c r="H23" s="12" t="n">
        <v>87</v>
      </c>
      <c r="I23" s="10" t="n">
        <f aca="false">G23/F23</f>
        <v>0.163461538461538</v>
      </c>
      <c r="J23" s="9" t="n">
        <v>1135.46</v>
      </c>
      <c r="K23" s="9" t="n">
        <v>-104.33</v>
      </c>
      <c r="L23" s="9" t="n">
        <v>1503.55</v>
      </c>
      <c r="M23" s="13" t="s">
        <v>35</v>
      </c>
      <c r="N23" s="14" t="s">
        <v>36</v>
      </c>
    </row>
    <row r="24" customFormat="false" ht="15" hidden="false" customHeight="true" outlineLevel="0" collapsed="false">
      <c r="A24" s="8" t="s">
        <v>37</v>
      </c>
      <c r="B24" s="9" t="n">
        <v>-1593.52</v>
      </c>
      <c r="C24" s="10" t="n">
        <v>-0.16</v>
      </c>
      <c r="D24" s="11" t="n">
        <v>0.69</v>
      </c>
      <c r="E24" s="10" t="n">
        <v>0.1966</v>
      </c>
      <c r="F24" s="12" t="n">
        <v>91</v>
      </c>
      <c r="G24" s="12" t="n">
        <v>16</v>
      </c>
      <c r="H24" s="12" t="n">
        <v>75</v>
      </c>
      <c r="I24" s="10" t="n">
        <f aca="false">G24/F24</f>
        <v>0.175824175824176</v>
      </c>
      <c r="J24" s="9" t="n">
        <v>673.56</v>
      </c>
      <c r="K24" s="9" t="n">
        <v>-217.83</v>
      </c>
      <c r="L24" s="9" t="n">
        <v>-1375.7</v>
      </c>
      <c r="M24" s="13" t="s">
        <v>38</v>
      </c>
      <c r="N24" s="14" t="s">
        <v>39</v>
      </c>
    </row>
    <row r="25" customFormat="false" ht="15" hidden="false" customHeight="true" outlineLevel="0" collapsed="false">
      <c r="A25" s="8" t="s">
        <v>40</v>
      </c>
      <c r="B25" s="9" t="n">
        <v>-1730.9</v>
      </c>
      <c r="C25" s="10" t="n">
        <v>-0.17</v>
      </c>
      <c r="D25" s="11" t="n">
        <v>0.65</v>
      </c>
      <c r="E25" s="10" t="n">
        <v>0.2616</v>
      </c>
      <c r="F25" s="12" t="n">
        <v>83</v>
      </c>
      <c r="G25" s="12" t="n">
        <v>9</v>
      </c>
      <c r="H25" s="12" t="n">
        <v>74</v>
      </c>
      <c r="I25" s="10" t="n">
        <f aca="false">G25/F25</f>
        <v>0.108433734939759</v>
      </c>
      <c r="J25" s="9" t="n">
        <v>944.08</v>
      </c>
      <c r="K25" s="9" t="n">
        <v>-264.25</v>
      </c>
      <c r="L25" s="9" t="n">
        <v>-1466.65</v>
      </c>
      <c r="M25" s="13" t="s">
        <v>41</v>
      </c>
      <c r="N25" s="14"/>
    </row>
    <row r="26" customFormat="false" ht="15" hidden="false" customHeight="true" outlineLevel="0" collapsed="false">
      <c r="A26" s="8" t="s">
        <v>42</v>
      </c>
      <c r="B26" s="9" t="n">
        <v>-1929.85</v>
      </c>
      <c r="C26" s="10" t="n">
        <v>-0.19</v>
      </c>
      <c r="D26" s="11" t="n">
        <v>0.58</v>
      </c>
      <c r="E26" s="10" t="n">
        <v>0.2897</v>
      </c>
      <c r="F26" s="12" t="n">
        <v>108</v>
      </c>
      <c r="G26" s="12" t="n">
        <v>12</v>
      </c>
      <c r="H26" s="12" t="n">
        <v>96</v>
      </c>
      <c r="I26" s="10" t="n">
        <f aca="false">G26/F26</f>
        <v>0.111111111111111</v>
      </c>
      <c r="J26" s="9" t="n">
        <v>448.89</v>
      </c>
      <c r="K26" s="9" t="n">
        <v>-1201.89</v>
      </c>
      <c r="L26" s="9" t="n">
        <v>-727.96</v>
      </c>
      <c r="M26" s="13" t="s">
        <v>41</v>
      </c>
      <c r="N26" s="14"/>
    </row>
    <row r="27" customFormat="false" ht="15" hidden="false" customHeight="true" outlineLevel="0" collapsed="false">
      <c r="A27" s="8" t="s">
        <v>43</v>
      </c>
      <c r="B27" s="9" t="n">
        <v>-2450.16</v>
      </c>
      <c r="C27" s="10" t="n">
        <v>-0.25</v>
      </c>
      <c r="D27" s="11" t="n">
        <v>0.44</v>
      </c>
      <c r="E27" s="10" t="n">
        <v>0.3103</v>
      </c>
      <c r="F27" s="12" t="n">
        <v>85</v>
      </c>
      <c r="G27" s="12" t="n">
        <v>8</v>
      </c>
      <c r="H27" s="12" t="n">
        <v>77</v>
      </c>
      <c r="I27" s="10" t="n">
        <f aca="false">G27/F27</f>
        <v>0.0941176470588235</v>
      </c>
      <c r="J27" s="9" t="n">
        <v>428.37</v>
      </c>
      <c r="K27" s="9" t="n">
        <v>-1082.3</v>
      </c>
      <c r="L27" s="9" t="n">
        <v>-1367.86</v>
      </c>
      <c r="M27" s="13" t="s">
        <v>44</v>
      </c>
      <c r="N27" s="14"/>
    </row>
    <row r="28" customFormat="false" ht="15" hidden="false" customHeight="true" outlineLevel="0" collapsed="false">
      <c r="A28" s="8" t="s">
        <v>45</v>
      </c>
      <c r="B28" s="9" t="n">
        <v>-2771.25</v>
      </c>
      <c r="C28" s="10" t="n">
        <v>-0.28</v>
      </c>
      <c r="D28" s="11" t="n">
        <v>0.48</v>
      </c>
      <c r="E28" s="10" t="n">
        <v>0.2876</v>
      </c>
      <c r="F28" s="12" t="n">
        <v>92</v>
      </c>
      <c r="G28" s="12" t="n">
        <v>11</v>
      </c>
      <c r="H28" s="12" t="n">
        <v>81</v>
      </c>
      <c r="I28" s="10" t="n">
        <f aca="false">G28/F28</f>
        <v>0.119565217391304</v>
      </c>
      <c r="J28" s="9" t="n">
        <v>336.91</v>
      </c>
      <c r="K28" s="9" t="n">
        <v>-1334.76</v>
      </c>
      <c r="L28" s="9" t="n">
        <v>-1436.49</v>
      </c>
      <c r="M28" s="13" t="s">
        <v>44</v>
      </c>
      <c r="N28" s="14" t="s">
        <v>46</v>
      </c>
    </row>
    <row r="29" customFormat="false" ht="15" hidden="false" customHeight="true" outlineLevel="0" collapsed="false">
      <c r="A29" s="8" t="s">
        <v>47</v>
      </c>
      <c r="B29" s="9" t="n">
        <v>-2948.76</v>
      </c>
      <c r="C29" s="10" t="n">
        <v>-0.29</v>
      </c>
      <c r="D29" s="11" t="n">
        <v>0.48</v>
      </c>
      <c r="E29" s="10" t="n">
        <v>0.3553</v>
      </c>
      <c r="F29" s="12" t="n">
        <v>128</v>
      </c>
      <c r="G29" s="12" t="n">
        <v>12</v>
      </c>
      <c r="H29" s="12" t="n">
        <v>116</v>
      </c>
      <c r="I29" s="10" t="n">
        <f aca="false">G29/F29</f>
        <v>0.09375</v>
      </c>
      <c r="J29" s="9" t="n">
        <v>801.55</v>
      </c>
      <c r="K29" s="9" t="n">
        <v>-1262.04</v>
      </c>
      <c r="L29" s="9" t="n">
        <v>-1686.72</v>
      </c>
      <c r="M29" s="13" t="s">
        <v>44</v>
      </c>
      <c r="N29" s="14"/>
    </row>
    <row r="30" customFormat="false" ht="15" hidden="false" customHeight="true" outlineLevel="0" collapsed="false">
      <c r="A30" s="8" t="s">
        <v>48</v>
      </c>
      <c r="B30" s="9" t="n">
        <v>-2985.91</v>
      </c>
      <c r="C30" s="10" t="n">
        <v>-0.3</v>
      </c>
      <c r="D30" s="11" t="n">
        <v>0.34</v>
      </c>
      <c r="E30" s="10" t="n">
        <v>0.3117</v>
      </c>
      <c r="F30" s="12" t="n">
        <v>86</v>
      </c>
      <c r="G30" s="12" t="n">
        <v>8</v>
      </c>
      <c r="H30" s="12" t="n">
        <v>78</v>
      </c>
      <c r="I30" s="10" t="n">
        <f aca="false">G30/F30</f>
        <v>0.0930232558139535</v>
      </c>
      <c r="J30" s="9" t="n">
        <v>288.83</v>
      </c>
      <c r="K30" s="9" t="n">
        <v>-1581.39</v>
      </c>
      <c r="L30" s="9" t="n">
        <v>-1404.52</v>
      </c>
      <c r="M30" s="13" t="s">
        <v>44</v>
      </c>
      <c r="N30" s="14" t="s">
        <v>49</v>
      </c>
    </row>
    <row r="31" customFormat="false" ht="15" hidden="false" customHeight="true" outlineLevel="0" collapsed="false">
      <c r="A31" s="8" t="s">
        <v>50</v>
      </c>
      <c r="B31" s="9" t="n">
        <v>-3911.59</v>
      </c>
      <c r="C31" s="10" t="n">
        <v>-0.39</v>
      </c>
      <c r="D31" s="11" t="n">
        <v>0.21</v>
      </c>
      <c r="E31" s="10" t="n">
        <v>0.4153</v>
      </c>
      <c r="F31" s="12" t="n">
        <v>100</v>
      </c>
      <c r="G31" s="12" t="n">
        <v>5</v>
      </c>
      <c r="H31" s="12" t="n">
        <v>95</v>
      </c>
      <c r="I31" s="10" t="n">
        <f aca="false">G31/F31</f>
        <v>0.05</v>
      </c>
      <c r="J31" s="9" t="n">
        <v>326.97</v>
      </c>
      <c r="K31" s="9" t="n">
        <v>-2367.49</v>
      </c>
      <c r="L31" s="9" t="n">
        <v>-1544.1</v>
      </c>
      <c r="M31" s="13" t="s">
        <v>51</v>
      </c>
      <c r="N31" s="14"/>
    </row>
    <row r="32" customFormat="false" ht="15" hidden="false" customHeight="true" outlineLevel="0" collapsed="false">
      <c r="A32" s="8" t="s">
        <v>52</v>
      </c>
      <c r="B32" s="9" t="n">
        <v>-4183.4</v>
      </c>
      <c r="C32" s="10" t="n">
        <v>-0.42</v>
      </c>
      <c r="D32" s="11" t="n">
        <v>0.21</v>
      </c>
      <c r="E32" s="10" t="n">
        <v>0.4396</v>
      </c>
      <c r="F32" s="12" t="n">
        <v>111</v>
      </c>
      <c r="G32" s="12" t="n">
        <v>7</v>
      </c>
      <c r="H32" s="12" t="n">
        <v>104</v>
      </c>
      <c r="I32" s="10" t="n">
        <f aca="false">G32/F32</f>
        <v>0.0630630630630631</v>
      </c>
      <c r="J32" s="9" t="n">
        <v>596.83</v>
      </c>
      <c r="K32" s="9" t="n">
        <v>-2129.71</v>
      </c>
      <c r="L32" s="9" t="n">
        <v>-2053.69</v>
      </c>
      <c r="M32" s="13" t="s">
        <v>53</v>
      </c>
      <c r="N32" s="14" t="s">
        <v>54</v>
      </c>
    </row>
    <row r="34" customFormat="false" ht="15" hidden="false" customHeight="true" outlineLevel="0" collapsed="false">
      <c r="A34" s="15" t="s">
        <v>55</v>
      </c>
      <c r="B34" s="16" t="n">
        <f aca="false">SUM(B23:B32)</f>
        <v>-23106.12</v>
      </c>
      <c r="C34" s="15"/>
      <c r="D34" s="15"/>
      <c r="E34" s="15"/>
      <c r="F34" s="17" t="n">
        <f aca="false">SUM(F23:F32)</f>
        <v>988</v>
      </c>
      <c r="G34" s="17" t="n">
        <f aca="false">SUM(G23:G32)</f>
        <v>105</v>
      </c>
      <c r="H34" s="17" t="n">
        <f aca="false">SUM(H23:H32)</f>
        <v>883</v>
      </c>
      <c r="I34" s="18" t="n">
        <f aca="false">G34/F34</f>
        <v>0.106275303643725</v>
      </c>
      <c r="J34" s="15"/>
      <c r="K34" s="16" t="n">
        <f aca="false">SUM(K23:K32)</f>
        <v>-11545.99</v>
      </c>
      <c r="L34" s="16" t="n">
        <f aca="false">SUM(L23:L32)</f>
        <v>-11560.14</v>
      </c>
      <c r="M34" s="15"/>
      <c r="N34" s="15"/>
    </row>
    <row r="36" customFormat="false" ht="15" hidden="false" customHeight="true" outlineLevel="0" collapsed="false">
      <c r="A36" s="4" t="s">
        <v>56</v>
      </c>
    </row>
    <row r="37" customFormat="false" ht="15" hidden="false" customHeight="true" outlineLevel="0" collapsed="false">
      <c r="A37" s="19" t="s">
        <v>57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customFormat="false" ht="15" hidden="false" customHeight="true" outlineLevel="0" collapsed="false">
      <c r="A38" s="19" t="s">
        <v>58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customFormat="false" ht="15" hidden="false" customHeight="true" outlineLevel="0" collapsed="false">
      <c r="A39" s="19" t="s">
        <v>59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customFormat="false" ht="15" hidden="false" customHeight="true" outlineLevel="0" collapsed="false">
      <c r="A40" s="19" t="s">
        <v>60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customFormat="false" ht="15" hidden="false" customHeight="true" outlineLevel="0" collapsed="false">
      <c r="A41" s="19" t="s">
        <v>61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6" customFormat="false" ht="15" hidden="false" customHeight="true" outlineLevel="0" collapsed="false">
      <c r="A46" s="4" t="s">
        <v>62</v>
      </c>
    </row>
    <row r="47" customFormat="false" ht="31.5" hidden="false" customHeight="true" outlineLevel="0" collapsed="false">
      <c r="A47" s="7" t="s">
        <v>20</v>
      </c>
      <c r="B47" s="7" t="s">
        <v>21</v>
      </c>
      <c r="C47" s="7" t="s">
        <v>22</v>
      </c>
      <c r="D47" s="7" t="s">
        <v>23</v>
      </c>
      <c r="E47" s="7" t="s">
        <v>24</v>
      </c>
      <c r="F47" s="7" t="s">
        <v>25</v>
      </c>
      <c r="G47" s="7" t="s">
        <v>26</v>
      </c>
      <c r="H47" s="7" t="s">
        <v>27</v>
      </c>
      <c r="I47" s="7" t="s">
        <v>28</v>
      </c>
      <c r="J47" s="7" t="s">
        <v>29</v>
      </c>
      <c r="K47" s="7" t="s">
        <v>30</v>
      </c>
      <c r="L47" s="7" t="s">
        <v>31</v>
      </c>
      <c r="M47" s="7" t="s">
        <v>32</v>
      </c>
      <c r="N47" s="7" t="s">
        <v>33</v>
      </c>
    </row>
    <row r="48" customFormat="false" ht="15" hidden="false" customHeight="true" outlineLevel="0" collapsed="false">
      <c r="A48" s="8" t="s">
        <v>63</v>
      </c>
      <c r="B48" s="9" t="n">
        <v>1460.91</v>
      </c>
      <c r="C48" s="10" t="n">
        <v>0.15</v>
      </c>
      <c r="D48" s="11" t="n">
        <v>1.6</v>
      </c>
      <c r="E48" s="10" t="n">
        <v>0.1328</v>
      </c>
      <c r="F48" s="12" t="n">
        <v>52</v>
      </c>
      <c r="G48" s="12" t="n">
        <v>12</v>
      </c>
      <c r="H48" s="12" t="n">
        <v>40</v>
      </c>
      <c r="I48" s="10" t="n">
        <f aca="false">G48/F48</f>
        <v>0.230769230769231</v>
      </c>
      <c r="J48" s="9" t="n">
        <v>753.61</v>
      </c>
      <c r="K48" s="9" t="n">
        <v>0</v>
      </c>
      <c r="L48" s="9" t="n">
        <v>1460.91</v>
      </c>
      <c r="M48" s="13" t="s">
        <v>64</v>
      </c>
      <c r="N48" s="14" t="s">
        <v>65</v>
      </c>
    </row>
  </sheetData>
  <mergeCells count="5">
    <mergeCell ref="A37:N37"/>
    <mergeCell ref="A38:N38"/>
    <mergeCell ref="A39:N39"/>
    <mergeCell ref="A40:N40"/>
    <mergeCell ref="A41:N41"/>
  </mergeCells>
  <conditionalFormatting sqref="B23:B32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C23:C32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K23:K32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L23:L32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D23:D32">
    <cfRule type="cellIs" priority="10" operator="greaterThan" aboveAverage="0" equalAverage="0" bottom="0" percent="0" rank="0" text="" dxfId="0">
      <formula>1</formula>
    </cfRule>
    <cfRule type="cellIs" priority="11" operator="lessThan" aboveAverage="0" equalAverage="0" bottom="0" percent="0" rank="0" text="" dxfId="1">
      <formula>1</formula>
    </cfRule>
  </conditionalFormatting>
  <conditionalFormatting sqref="E23:E32">
    <cfRule type="cellIs" priority="12" operator="greaterThan" aboveAverage="0" equalAverage="0" bottom="0" percent="0" rank="0" text="" dxfId="1">
      <formula>0.3</formula>
    </cfRule>
    <cfRule type="cellIs" priority="13" operator="between" aboveAverage="0" equalAverage="0" bottom="0" percent="0" rank="0" text="" dxfId="2">
      <formula>0.2</formula>
      <formula>0.3</formula>
    </cfRule>
    <cfRule type="cellIs" priority="14" operator="lessThan" aboveAverage="0" equalAverage="0" bottom="0" percent="0" rank="0" text="" dxfId="0">
      <formula>0.2</formula>
    </cfRule>
  </conditionalFormatting>
  <conditionalFormatting sqref="I23:I32">
    <cfRule type="cellIs" priority="15" operator="greaterThan" aboveAverage="0" equalAverage="0" bottom="0" percent="0" rank="0" text="" dxfId="0">
      <formula>0.5</formula>
    </cfRule>
    <cfRule type="cellIs" priority="16" operator="between" aboveAverage="0" equalAverage="0" bottom="0" percent="0" rank="0" text="" dxfId="2">
      <formula>0.2</formula>
      <formula>0.5</formula>
    </cfRule>
    <cfRule type="cellIs" priority="17" operator="lessThan" aboveAverage="0" equalAverage="0" bottom="0" percent="0" rank="0" text="" dxfId="1">
      <formula>0.2</formula>
    </cfRule>
  </conditionalFormatting>
  <conditionalFormatting sqref="B48">
    <cfRule type="cellIs" priority="18" operator="greaterThan" aboveAverage="0" equalAverage="0" bottom="0" percent="0" rank="0" text="" dxfId="0">
      <formula>0</formula>
    </cfRule>
    <cfRule type="cellIs" priority="19" operator="lessThan" aboveAverage="0" equalAverage="0" bottom="0" percent="0" rank="0" text="" dxfId="1">
      <formula>0</formula>
    </cfRule>
  </conditionalFormatting>
  <conditionalFormatting sqref="C48">
    <cfRule type="cellIs" priority="20" operator="greaterThan" aboveAverage="0" equalAverage="0" bottom="0" percent="0" rank="0" text="" dxfId="0">
      <formula>0</formula>
    </cfRule>
    <cfRule type="cellIs" priority="21" operator="lessThan" aboveAverage="0" equalAverage="0" bottom="0" percent="0" rank="0" text="" dxfId="1">
      <formula>0</formula>
    </cfRule>
  </conditionalFormatting>
  <conditionalFormatting sqref="K48">
    <cfRule type="cellIs" priority="22" operator="greaterThan" aboveAverage="0" equalAverage="0" bottom="0" percent="0" rank="0" text="" dxfId="0">
      <formula>0</formula>
    </cfRule>
    <cfRule type="cellIs" priority="23" operator="lessThan" aboveAverage="0" equalAverage="0" bottom="0" percent="0" rank="0" text="" dxfId="1">
      <formula>0</formula>
    </cfRule>
  </conditionalFormatting>
  <conditionalFormatting sqref="L48">
    <cfRule type="cellIs" priority="24" operator="greaterThan" aboveAverage="0" equalAverage="0" bottom="0" percent="0" rank="0" text="" dxfId="0">
      <formula>0</formula>
    </cfRule>
    <cfRule type="cellIs" priority="25" operator="lessThan" aboveAverage="0" equalAverage="0" bottom="0" percent="0" rank="0" text="" dxfId="1">
      <formula>0</formula>
    </cfRule>
  </conditionalFormatting>
  <conditionalFormatting sqref="D48">
    <cfRule type="cellIs" priority="26" operator="greaterThan" aboveAverage="0" equalAverage="0" bottom="0" percent="0" rank="0" text="" dxfId="0">
      <formula>1</formula>
    </cfRule>
    <cfRule type="cellIs" priority="27" operator="lessThan" aboveAverage="0" equalAverage="0" bottom="0" percent="0" rank="0" text="" dxfId="1">
      <formula>1</formula>
    </cfRule>
  </conditionalFormatting>
  <conditionalFormatting sqref="E48">
    <cfRule type="cellIs" priority="28" operator="greaterThan" aboveAverage="0" equalAverage="0" bottom="0" percent="0" rank="0" text="" dxfId="1">
      <formula>0.3</formula>
    </cfRule>
    <cfRule type="cellIs" priority="29" operator="between" aboveAverage="0" equalAverage="0" bottom="0" percent="0" rank="0" text="" dxfId="2">
      <formula>0.2</formula>
      <formula>0.3</formula>
    </cfRule>
    <cfRule type="cellIs" priority="30" operator="lessThan" aboveAverage="0" equalAverage="0" bottom="0" percent="0" rank="0" text="" dxfId="0">
      <formula>0.2</formula>
    </cfRule>
  </conditionalFormatting>
  <conditionalFormatting sqref="I48">
    <cfRule type="cellIs" priority="31" operator="greaterThan" aboveAverage="0" equalAverage="0" bottom="0" percent="0" rank="0" text="" dxfId="0">
      <formula>0.5</formula>
    </cfRule>
    <cfRule type="cellIs" priority="32" operator="between" aboveAverage="0" equalAverage="0" bottom="0" percent="0" rank="0" text="" dxfId="2">
      <formula>0.2</formula>
      <formula>0.5</formula>
    </cfRule>
    <cfRule type="cellIs" priority="33" operator="lessThan" aboveAverage="0" equalAverage="0" bottom="0" percent="0" rank="0" text="" dxfId="1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8" min="7" style="1" width="8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2" min="11" style="1" width="13"/>
    <col collapsed="false" customWidth="true" hidden="false" outlineLevel="0" max="13" min="13" style="1" width="24"/>
    <col collapsed="false" customWidth="true" hidden="false" outlineLevel="0" max="14" min="14" style="1" width="60"/>
  </cols>
  <sheetData>
    <row r="1" customFormat="false" ht="17.25" hidden="false" customHeight="true" outlineLevel="0" collapsed="false">
      <c r="A1" s="2" t="s">
        <v>66</v>
      </c>
    </row>
    <row r="2" customFormat="false" ht="15" hidden="false" customHeight="true" outlineLevel="0" collapsed="false">
      <c r="A2" s="3" t="s">
        <v>67</v>
      </c>
    </row>
    <row r="4" customFormat="false" ht="31.5" hidden="false" customHeight="tru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7" t="s">
        <v>31</v>
      </c>
      <c r="M4" s="7" t="s">
        <v>32</v>
      </c>
      <c r="N4" s="7" t="s">
        <v>33</v>
      </c>
    </row>
    <row r="5" customFormat="false" ht="15" hidden="false" customHeight="true" outlineLevel="0" collapsed="false">
      <c r="A5" s="8" t="s">
        <v>34</v>
      </c>
      <c r="B5" s="9" t="n">
        <v>812.08</v>
      </c>
      <c r="C5" s="10" t="n">
        <v>0.08</v>
      </c>
      <c r="D5" s="11" t="n">
        <v>1.15</v>
      </c>
      <c r="E5" s="10" t="n">
        <v>0.1881</v>
      </c>
      <c r="F5" s="12" t="n">
        <v>104</v>
      </c>
      <c r="G5" s="12" t="n">
        <v>19</v>
      </c>
      <c r="H5" s="12" t="n">
        <v>85</v>
      </c>
      <c r="I5" s="10" t="n">
        <f aca="false">G5/F5</f>
        <v>0.182692307692308</v>
      </c>
      <c r="J5" s="9" t="n">
        <v>849.76</v>
      </c>
      <c r="K5" s="9" t="n">
        <v>-512.47</v>
      </c>
      <c r="L5" s="9" t="n">
        <v>1324.55</v>
      </c>
      <c r="M5" s="13" t="s">
        <v>68</v>
      </c>
      <c r="N5" s="14" t="s">
        <v>69</v>
      </c>
    </row>
    <row r="6" customFormat="false" ht="15" hidden="false" customHeight="true" outlineLevel="0" collapsed="false">
      <c r="A6" s="8" t="s">
        <v>40</v>
      </c>
      <c r="B6" s="9" t="n">
        <v>-643.82</v>
      </c>
      <c r="C6" s="10" t="n">
        <v>-0.06</v>
      </c>
      <c r="D6" s="11" t="n">
        <v>0.86</v>
      </c>
      <c r="E6" s="10" t="n">
        <v>0.1848</v>
      </c>
      <c r="F6" s="12" t="n">
        <v>83</v>
      </c>
      <c r="G6" s="12" t="n">
        <v>13</v>
      </c>
      <c r="H6" s="12" t="n">
        <v>70</v>
      </c>
      <c r="I6" s="10" t="n">
        <f aca="false">G6/F6</f>
        <v>0.156626506024096</v>
      </c>
      <c r="J6" s="9" t="n">
        <v>869.93</v>
      </c>
      <c r="K6" s="9" t="n">
        <v>41.07</v>
      </c>
      <c r="L6" s="9" t="n">
        <v>-684.89</v>
      </c>
      <c r="M6" s="13" t="s">
        <v>70</v>
      </c>
      <c r="N6" s="14" t="s">
        <v>71</v>
      </c>
    </row>
    <row r="7" customFormat="false" ht="15" hidden="false" customHeight="true" outlineLevel="0" collapsed="false">
      <c r="A7" s="8" t="s">
        <v>43</v>
      </c>
      <c r="B7" s="9" t="n">
        <v>-2066.12</v>
      </c>
      <c r="C7" s="10" t="n">
        <v>-0.21</v>
      </c>
      <c r="D7" s="11" t="n">
        <v>0.55</v>
      </c>
      <c r="E7" s="10" t="n">
        <v>0.2528</v>
      </c>
      <c r="F7" s="12" t="n">
        <v>84</v>
      </c>
      <c r="G7" s="12" t="n">
        <v>11</v>
      </c>
      <c r="H7" s="12" t="n">
        <v>73</v>
      </c>
      <c r="I7" s="10" t="n">
        <f aca="false">G7/F7</f>
        <v>0.130952380952381</v>
      </c>
      <c r="J7" s="9" t="n">
        <v>564.28</v>
      </c>
      <c r="K7" s="9" t="n">
        <v>-1430.23</v>
      </c>
      <c r="L7" s="9" t="n">
        <v>-635.89</v>
      </c>
      <c r="M7" s="13" t="s">
        <v>72</v>
      </c>
      <c r="N7" s="14" t="s">
        <v>73</v>
      </c>
    </row>
    <row r="8" customFormat="false" ht="15" hidden="false" customHeight="true" outlineLevel="0" collapsed="false">
      <c r="A8" s="8" t="s">
        <v>42</v>
      </c>
      <c r="B8" s="9" t="n">
        <v>-2335.4</v>
      </c>
      <c r="C8" s="10" t="n">
        <v>-0.23</v>
      </c>
      <c r="D8" s="11" t="n">
        <v>0.51</v>
      </c>
      <c r="E8" s="10" t="n">
        <v>0.2699</v>
      </c>
      <c r="F8" s="12" t="n">
        <v>108</v>
      </c>
      <c r="G8" s="12" t="n">
        <v>13</v>
      </c>
      <c r="H8" s="12" t="n">
        <v>95</v>
      </c>
      <c r="I8" s="10" t="n">
        <f aca="false">G8/F8</f>
        <v>0.12037037037037</v>
      </c>
      <c r="J8" s="9" t="n">
        <v>305.29</v>
      </c>
      <c r="K8" s="9" t="n">
        <v>-1138.98</v>
      </c>
      <c r="L8" s="9" t="n">
        <v>-1196.42</v>
      </c>
      <c r="M8" s="13" t="s">
        <v>68</v>
      </c>
      <c r="N8" s="14" t="s">
        <v>74</v>
      </c>
    </row>
    <row r="9" customFormat="false" ht="15" hidden="false" customHeight="true" outlineLevel="0" collapsed="false">
      <c r="A9" s="8" t="s">
        <v>48</v>
      </c>
      <c r="B9" s="9" t="n">
        <v>-2490.65</v>
      </c>
      <c r="C9" s="10" t="n">
        <v>-0.25</v>
      </c>
      <c r="D9" s="11" t="n">
        <v>0.47</v>
      </c>
      <c r="E9" s="10" t="n">
        <v>0.2612</v>
      </c>
      <c r="F9" s="12" t="n">
        <v>86</v>
      </c>
      <c r="G9" s="12" t="n">
        <v>10</v>
      </c>
      <c r="H9" s="12" t="n">
        <v>76</v>
      </c>
      <c r="I9" s="10" t="n">
        <f aca="false">G9/F9</f>
        <v>0.116279069767442</v>
      </c>
      <c r="J9" s="9" t="n">
        <v>481.64</v>
      </c>
      <c r="K9" s="9" t="n">
        <v>-1028.96</v>
      </c>
      <c r="L9" s="9" t="n">
        <v>-1461.69</v>
      </c>
      <c r="M9" s="13" t="s">
        <v>72</v>
      </c>
      <c r="N9" s="14"/>
    </row>
    <row r="10" customFormat="false" ht="15" hidden="false" customHeight="true" outlineLevel="0" collapsed="false">
      <c r="A10" s="8" t="s">
        <v>45</v>
      </c>
      <c r="B10" s="9" t="n">
        <v>-2501.68</v>
      </c>
      <c r="C10" s="10" t="n">
        <v>-0.25</v>
      </c>
      <c r="D10" s="11" t="n">
        <v>0.52</v>
      </c>
      <c r="E10" s="10" t="n">
        <v>0.2554</v>
      </c>
      <c r="F10" s="12" t="n">
        <v>92</v>
      </c>
      <c r="G10" s="12" t="n">
        <v>16</v>
      </c>
      <c r="H10" s="12" t="n">
        <v>76</v>
      </c>
      <c r="I10" s="10" t="n">
        <f aca="false">G10/F10</f>
        <v>0.173913043478261</v>
      </c>
      <c r="J10" s="9" t="n">
        <v>299.87</v>
      </c>
      <c r="K10" s="9" t="n">
        <v>-1430.82</v>
      </c>
      <c r="L10" s="9" t="n">
        <v>-1070.86</v>
      </c>
      <c r="M10" s="13" t="s">
        <v>72</v>
      </c>
      <c r="N10" s="14"/>
    </row>
    <row r="11" customFormat="false" ht="15" hidden="false" customHeight="true" outlineLevel="0" collapsed="false">
      <c r="A11" s="8" t="s">
        <v>52</v>
      </c>
      <c r="B11" s="9" t="n">
        <v>-3716.71</v>
      </c>
      <c r="C11" s="10" t="n">
        <v>-0.37</v>
      </c>
      <c r="D11" s="11" t="n">
        <v>0.32</v>
      </c>
      <c r="E11" s="10" t="n">
        <v>0.3945</v>
      </c>
      <c r="F11" s="12" t="n">
        <v>110</v>
      </c>
      <c r="G11" s="12" t="n">
        <v>10</v>
      </c>
      <c r="H11" s="12" t="n">
        <v>100</v>
      </c>
      <c r="I11" s="10" t="n">
        <f aca="false">G11/F11</f>
        <v>0.0909090909090909</v>
      </c>
      <c r="J11" s="9" t="n">
        <v>492.41</v>
      </c>
      <c r="K11" s="9" t="n">
        <v>-1706.77</v>
      </c>
      <c r="L11" s="9" t="n">
        <v>-2009.94</v>
      </c>
      <c r="M11" s="13" t="s">
        <v>75</v>
      </c>
      <c r="N11" s="14"/>
    </row>
    <row r="13" customFormat="false" ht="15" hidden="false" customHeight="true" outlineLevel="0" collapsed="false">
      <c r="A13" s="4" t="s">
        <v>76</v>
      </c>
    </row>
    <row r="14" customFormat="false" ht="15" hidden="false" customHeight="true" outlineLevel="0" collapsed="false">
      <c r="A14" s="20" t="s">
        <v>77</v>
      </c>
    </row>
    <row r="16" customFormat="false" ht="15" hidden="false" customHeight="true" outlineLevel="0" collapsed="false">
      <c r="A16" s="4" t="s">
        <v>56</v>
      </c>
    </row>
    <row r="17" customFormat="false" ht="15" hidden="false" customHeight="true" outlineLevel="0" collapsed="false">
      <c r="A17" s="19" t="s">
        <v>78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customFormat="false" ht="15" hidden="false" customHeight="true" outlineLevel="0" collapsed="false">
      <c r="A18" s="19" t="s">
        <v>79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customFormat="false" ht="15" hidden="false" customHeight="true" outlineLevel="0" collapsed="false">
      <c r="A19" s="19" t="s">
        <v>80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customFormat="false" ht="15" hidden="false" customHeight="true" outlineLevel="0" collapsed="false">
      <c r="A20" s="19" t="s">
        <v>81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customFormat="false" ht="15" hidden="false" customHeight="true" outlineLevel="0" collapsed="false">
      <c r="A21" s="19" t="s">
        <v>82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</sheetData>
  <mergeCells count="5">
    <mergeCell ref="A17:N17"/>
    <mergeCell ref="A18:N18"/>
    <mergeCell ref="A19:N19"/>
    <mergeCell ref="A20:N20"/>
    <mergeCell ref="A21:N21"/>
  </mergeCells>
  <conditionalFormatting sqref="B5:B1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C5:C11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K5:K11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L5:L11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D5:D11">
    <cfRule type="cellIs" priority="10" operator="greaterThan" aboveAverage="0" equalAverage="0" bottom="0" percent="0" rank="0" text="" dxfId="0">
      <formula>1</formula>
    </cfRule>
    <cfRule type="cellIs" priority="11" operator="lessThan" aboveAverage="0" equalAverage="0" bottom="0" percent="0" rank="0" text="" dxfId="1">
      <formula>1</formula>
    </cfRule>
  </conditionalFormatting>
  <conditionalFormatting sqref="E5:E11">
    <cfRule type="cellIs" priority="12" operator="greaterThan" aboveAverage="0" equalAverage="0" bottom="0" percent="0" rank="0" text="" dxfId="1">
      <formula>0.3</formula>
    </cfRule>
    <cfRule type="cellIs" priority="13" operator="between" aboveAverage="0" equalAverage="0" bottom="0" percent="0" rank="0" text="" dxfId="2">
      <formula>0.2</formula>
      <formula>0.3</formula>
    </cfRule>
    <cfRule type="cellIs" priority="14" operator="lessThan" aboveAverage="0" equalAverage="0" bottom="0" percent="0" rank="0" text="" dxfId="0">
      <formula>0.2</formula>
    </cfRule>
  </conditionalFormatting>
  <conditionalFormatting sqref="I5:I11">
    <cfRule type="cellIs" priority="15" operator="greaterThan" aboveAverage="0" equalAverage="0" bottom="0" percent="0" rank="0" text="" dxfId="0">
      <formula>0.5</formula>
    </cfRule>
    <cfRule type="cellIs" priority="16" operator="between" aboveAverage="0" equalAverage="0" bottom="0" percent="0" rank="0" text="" dxfId="2">
      <formula>0.2</formula>
      <formula>0.5</formula>
    </cfRule>
    <cfRule type="cellIs" priority="17" operator="lessThan" aboveAverage="0" equalAverage="0" bottom="0" percent="0" rank="0" text="" dxfId="1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8" min="8" style="1" width="8"/>
    <col collapsed="false" customWidth="true" hidden="false" outlineLevel="0" max="9" min="9" style="1" width="12"/>
    <col collapsed="false" customWidth="true" hidden="false" outlineLevel="0" max="11" min="10" style="1" width="14"/>
    <col collapsed="false" customWidth="true" hidden="false" outlineLevel="0" max="12" min="12" style="1" width="16"/>
    <col collapsed="false" customWidth="true" hidden="false" outlineLevel="0" max="13" min="13" style="1" width="60"/>
  </cols>
  <sheetData>
    <row r="1" customFormat="false" ht="17.25" hidden="false" customHeight="true" outlineLevel="0" collapsed="false">
      <c r="A1" s="2" t="s">
        <v>83</v>
      </c>
    </row>
    <row r="2" customFormat="false" ht="15" hidden="false" customHeight="true" outlineLevel="0" collapsed="false">
      <c r="A2" s="3" t="s">
        <v>84</v>
      </c>
    </row>
    <row r="4" customFormat="false" ht="31.5" hidden="false" customHeight="true" outlineLevel="0" collapsed="false">
      <c r="A4" s="7" t="s">
        <v>85</v>
      </c>
      <c r="B4" s="7" t="s">
        <v>86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28</v>
      </c>
      <c r="J4" s="7" t="s">
        <v>29</v>
      </c>
      <c r="K4" s="7" t="s">
        <v>87</v>
      </c>
      <c r="L4" s="7" t="s">
        <v>32</v>
      </c>
      <c r="M4" s="7" t="s">
        <v>33</v>
      </c>
    </row>
    <row r="5" customFormat="false" ht="15" hidden="false" customHeight="true" outlineLevel="0" collapsed="false">
      <c r="A5" s="8" t="s">
        <v>88</v>
      </c>
      <c r="B5" s="13" t="s">
        <v>89</v>
      </c>
      <c r="C5" s="21" t="n">
        <v>1460.91</v>
      </c>
      <c r="D5" s="22" t="n">
        <v>0.15</v>
      </c>
      <c r="E5" s="23" t="n">
        <v>1.6</v>
      </c>
      <c r="F5" s="22" t="n">
        <v>0.1328</v>
      </c>
      <c r="G5" s="24" t="n">
        <v>52</v>
      </c>
      <c r="H5" s="24" t="n">
        <v>12</v>
      </c>
      <c r="I5" s="22" t="n">
        <f aca="false">H5/G5</f>
        <v>0.230769230769231</v>
      </c>
      <c r="J5" s="21" t="n">
        <v>753.61</v>
      </c>
      <c r="K5" s="21" t="n">
        <v>-99.32</v>
      </c>
      <c r="L5" s="8" t="s">
        <v>90</v>
      </c>
      <c r="M5" s="14" t="s">
        <v>91</v>
      </c>
    </row>
    <row r="6" customFormat="false" ht="15" hidden="false" customHeight="true" outlineLevel="0" collapsed="false">
      <c r="A6" s="8" t="s">
        <v>92</v>
      </c>
      <c r="B6" s="13" t="s">
        <v>89</v>
      </c>
      <c r="C6" s="21" t="n">
        <v>165.1</v>
      </c>
      <c r="D6" s="22" t="n">
        <v>0.02</v>
      </c>
      <c r="E6" s="23" t="n">
        <v>1.07</v>
      </c>
      <c r="F6" s="22" t="n">
        <v>0.1589</v>
      </c>
      <c r="G6" s="24" t="n">
        <v>38</v>
      </c>
      <c r="H6" s="24" t="n">
        <v>6</v>
      </c>
      <c r="I6" s="22" t="n">
        <f aca="false">H6/G6</f>
        <v>0.157894736842105</v>
      </c>
      <c r="J6" s="21" t="n">
        <v>972.35</v>
      </c>
      <c r="K6" s="21" t="n">
        <v>-182.19</v>
      </c>
      <c r="L6" s="13" t="s">
        <v>93</v>
      </c>
      <c r="M6" s="14" t="s">
        <v>94</v>
      </c>
    </row>
    <row r="7" customFormat="false" ht="15" hidden="false" customHeight="true" outlineLevel="0" collapsed="false">
      <c r="A7" s="8" t="s">
        <v>92</v>
      </c>
      <c r="B7" s="13" t="s">
        <v>95</v>
      </c>
      <c r="C7" s="21" t="n">
        <v>-428.38</v>
      </c>
      <c r="D7" s="22" t="n">
        <v>-0.04</v>
      </c>
      <c r="E7" s="23" t="n">
        <v>0.82</v>
      </c>
      <c r="F7" s="22" t="n">
        <v>0.1111</v>
      </c>
      <c r="G7" s="24" t="n">
        <v>39</v>
      </c>
      <c r="H7" s="24" t="n">
        <v>6</v>
      </c>
      <c r="I7" s="22" t="n">
        <f aca="false">H7/G7</f>
        <v>0.153846153846154</v>
      </c>
      <c r="J7" s="21" t="n">
        <v>525.74</v>
      </c>
      <c r="K7" s="21" t="n">
        <v>-158.64</v>
      </c>
      <c r="L7" s="8" t="s">
        <v>96</v>
      </c>
      <c r="M7" s="14" t="s">
        <v>97</v>
      </c>
    </row>
    <row r="8" customFormat="false" ht="15" hidden="false" customHeight="true" outlineLevel="0" collapsed="false">
      <c r="A8" s="8" t="s">
        <v>98</v>
      </c>
      <c r="B8" s="13" t="s">
        <v>89</v>
      </c>
      <c r="C8" s="25" t="n">
        <v>-470.1</v>
      </c>
      <c r="D8" s="26" t="n">
        <v>-0.05</v>
      </c>
      <c r="E8" s="27" t="n">
        <v>0.78</v>
      </c>
      <c r="F8" s="26" t="n">
        <v>0.0931</v>
      </c>
      <c r="G8" s="28" t="n">
        <v>38</v>
      </c>
      <c r="H8" s="28" t="n">
        <v>9</v>
      </c>
      <c r="I8" s="26" t="n">
        <f aca="false">H8/G8</f>
        <v>0.236842105263158</v>
      </c>
      <c r="J8" s="25" t="n">
        <v>413.48</v>
      </c>
      <c r="K8" s="25" t="n">
        <v>-379.2</v>
      </c>
      <c r="L8" s="13" t="s">
        <v>99</v>
      </c>
      <c r="M8" s="14" t="s">
        <v>100</v>
      </c>
    </row>
    <row r="9" customFormat="false" ht="15" hidden="false" customHeight="false" outlineLevel="0" collapsed="false">
      <c r="A9" s="29" t="s">
        <v>98</v>
      </c>
      <c r="B9" s="30" t="s">
        <v>95</v>
      </c>
      <c r="C9" s="31" t="n">
        <v>-8.69</v>
      </c>
      <c r="D9" s="32" t="n">
        <v>-0.0009</v>
      </c>
      <c r="E9" s="33" t="n">
        <v>1</v>
      </c>
      <c r="F9" s="32" t="n">
        <v>0.0759</v>
      </c>
      <c r="G9" s="34" t="n">
        <v>37</v>
      </c>
      <c r="H9" s="34" t="n">
        <v>10</v>
      </c>
      <c r="I9" s="32" t="n">
        <f aca="false">H9/G9</f>
        <v>0.27027027027027</v>
      </c>
      <c r="J9" s="31" t="n">
        <v>388.41</v>
      </c>
      <c r="K9" s="31" t="n">
        <v>-399.25</v>
      </c>
      <c r="L9" s="29" t="s">
        <v>93</v>
      </c>
      <c r="M9" s="35" t="s">
        <v>101</v>
      </c>
    </row>
    <row r="11" customFormat="false" ht="15" hidden="false" customHeight="true" outlineLevel="0" collapsed="false"/>
    <row r="12" customFormat="false" ht="15" hidden="false" customHeight="true" outlineLevel="0" collapsed="false">
      <c r="A12" s="36" t="s">
        <v>56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customFormat="false" ht="15" hidden="false" customHeight="true" outlineLevel="0" collapsed="false">
      <c r="A13" s="19" t="s">
        <v>102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customFormat="false" ht="15" hidden="false" customHeight="true" outlineLevel="0" collapsed="false">
      <c r="A14" s="19" t="s">
        <v>103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customFormat="false" ht="15" hidden="false" customHeight="true" outlineLevel="0" collapsed="false">
      <c r="A15" s="19" t="s">
        <v>104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customFormat="false" ht="15" hidden="false" customHeight="true" outlineLevel="0" collapsed="false">
      <c r="A16" s="19" t="s">
        <v>105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customFormat="false" ht="79.85" hidden="false" customHeight="false" outlineLevel="0" collapsed="false">
      <c r="A17" s="37" t="s">
        <v>106</v>
      </c>
    </row>
  </sheetData>
  <mergeCells count="5">
    <mergeCell ref="A12:M12"/>
    <mergeCell ref="A13:M13"/>
    <mergeCell ref="A14:M14"/>
    <mergeCell ref="A15:M15"/>
    <mergeCell ref="A16:M16"/>
  </mergeCells>
  <conditionalFormatting sqref="C5:C8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D5:D8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E5:E8">
    <cfRule type="cellIs" priority="6" operator="greaterThan" aboveAverage="0" equalAverage="0" bottom="0" percent="0" rank="0" text="" dxfId="0">
      <formula>1</formula>
    </cfRule>
    <cfRule type="cellIs" priority="7" operator="lessThan" aboveAverage="0" equalAverage="0" bottom="0" percent="0" rank="0" text="" dxfId="1">
      <formula>1</formula>
    </cfRule>
  </conditionalFormatting>
  <conditionalFormatting sqref="F5:F8">
    <cfRule type="cellIs" priority="8" operator="greaterThan" aboveAverage="0" equalAverage="0" bottom="0" percent="0" rank="0" text="" dxfId="1">
      <formula>0.3</formula>
    </cfRule>
    <cfRule type="cellIs" priority="9" operator="between" aboveAverage="0" equalAverage="0" bottom="0" percent="0" rank="0" text="" dxfId="2">
      <formula>0.2</formula>
      <formula>0.3</formula>
    </cfRule>
    <cfRule type="cellIs" priority="10" operator="lessThan" aboveAverage="0" equalAverage="0" bottom="0" percent="0" rank="0" text="" dxfId="0">
      <formula>0.2</formula>
    </cfRule>
  </conditionalFormatting>
  <conditionalFormatting sqref="C9">
    <cfRule type="cellIs" priority="11" operator="greaterThan" aboveAverage="0" equalAverage="0" bottom="0" percent="0" rank="0" text="" dxfId="3">
      <formula>0</formula>
    </cfRule>
    <cfRule type="cellIs" priority="12" operator="lessThan" aboveAverage="0" equalAverage="0" bottom="0" percent="0" rank="0" text="" dxfId="4">
      <formula>0</formula>
    </cfRule>
  </conditionalFormatting>
  <conditionalFormatting sqref="D9">
    <cfRule type="cellIs" priority="13" operator="greaterThan" aboveAverage="0" equalAverage="0" bottom="0" percent="0" rank="0" text="" dxfId="3">
      <formula>0</formula>
    </cfRule>
    <cfRule type="cellIs" priority="14" operator="lessThan" aboveAverage="0" equalAverage="0" bottom="0" percent="0" rank="0" text="" dxfId="4">
      <formula>0</formula>
    </cfRule>
  </conditionalFormatting>
  <conditionalFormatting sqref="E9">
    <cfRule type="cellIs" priority="15" operator="greaterThan" aboveAverage="0" equalAverage="0" bottom="0" percent="0" rank="0" text="" dxfId="3">
      <formula>1</formula>
    </cfRule>
    <cfRule type="cellIs" priority="16" operator="lessThan" aboveAverage="0" equalAverage="0" bottom="0" percent="0" rank="0" text="" dxfId="4">
      <formula>1</formula>
    </cfRule>
  </conditionalFormatting>
  <conditionalFormatting sqref="F9">
    <cfRule type="cellIs" priority="17" operator="greaterThan" aboveAverage="0" equalAverage="0" bottom="0" percent="0" rank="0" text="" dxfId="4">
      <formula>0.3</formula>
    </cfRule>
    <cfRule type="cellIs" priority="18" operator="between" aboveAverage="0" equalAverage="0" bottom="0" percent="0" rank="0" text="" dxfId="5">
      <formula>0.2</formula>
      <formula>0.3</formula>
    </cfRule>
    <cfRule type="cellIs" priority="19" operator="lessThan" aboveAverage="0" equalAverage="0" bottom="0" percent="0" rank="0" text="" dxfId="3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2026-05-04T13:35:29Z</dcterms:created>
  <dc:creator>openpyxl</dc:creator>
  <dc:description/>
  <dc:language>en-US</dc:language>
  <cp:lastModifiedBy/>
  <dcterms:modified xsi:type="dcterms:W3CDTF">2026-05-04T15:05:00Z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